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a\OneDrive\Desktop\PlatinumRX_Assignment\Spreadsheets\"/>
    </mc:Choice>
  </mc:AlternateContent>
  <xr:revisionPtr revIDLastSave="0" documentId="13_ncr:1_{FA4C6670-80BE-4085-AD89-8DDA70F91C07}" xr6:coauthVersionLast="47" xr6:coauthVersionMax="47" xr10:uidLastSave="{00000000-0000-0000-0000-000000000000}"/>
  <bookViews>
    <workbookView xWindow="-110" yWindow="-110" windowWidth="19420" windowHeight="10300" activeTab="1" xr2:uid="{51F1C001-7946-4C0A-969B-4C668A58F29D}"/>
  </bookViews>
  <sheets>
    <sheet name="ticket" sheetId="1" r:id="rId1"/>
    <sheet name="feed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I3" i="1"/>
  <c r="I4" i="1"/>
  <c r="I5" i="1"/>
  <c r="I2" i="1"/>
  <c r="H2" i="1"/>
  <c r="D2" i="2"/>
  <c r="D3" i="2"/>
  <c r="D4" i="2"/>
  <c r="D5" i="2"/>
  <c r="G3" i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<sst xmlns="http://schemas.openxmlformats.org/spreadsheetml/2006/main" count="29" uniqueCount="23">
  <si>
    <t>ticket_id</t>
  </si>
  <si>
    <t>created_at</t>
  </si>
  <si>
    <t>closed_at</t>
  </si>
  <si>
    <t>outlet_id</t>
  </si>
  <si>
    <t>cms_id</t>
  </si>
  <si>
    <t>t1</t>
  </si>
  <si>
    <t>t2</t>
  </si>
  <si>
    <t>t3</t>
  </si>
  <si>
    <t>Hyderabad</t>
  </si>
  <si>
    <t>Chennai</t>
  </si>
  <si>
    <t>c1</t>
  </si>
  <si>
    <t>c2</t>
  </si>
  <si>
    <t>c3</t>
  </si>
  <si>
    <t>t4</t>
  </si>
  <si>
    <t>c4</t>
  </si>
  <si>
    <t>Bengaluru</t>
  </si>
  <si>
    <t>feedback_at</t>
  </si>
  <si>
    <t>feedback_rating</t>
  </si>
  <si>
    <t>ticket_created_at</t>
  </si>
  <si>
    <t>same_day</t>
  </si>
  <si>
    <t>same_hour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</si>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</sst>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dd/mm/yyyy\ hh:mm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5E5746-4040-4094-A850-D0CEC3FC22B4}" name="Table2" displayName="Table2" ref="A1:I5" totalsRowShown="0" headerRowDxfId="3">
  <autoFilter ref="A1:I5" xr:uid="{775E5746-4040-4094-A850-D0CEC3FC22B4}"/>
  <tableColumns count="9">
    <tableColumn id="1" xr3:uid="{A70C6649-8FA3-4E69-BCC4-EB80660EC093}" name="ticket_id"/>
    <tableColumn id="2" xr3:uid="{B71D2A40-ECDE-4D0F-AB19-E2D8C8E89844}" name="created_at" dataDxfId="5"/>
    <tableColumn id="3" xr3:uid="{12E84095-E0F2-46FD-8817-D6BA5124A501}" name="closed_at" dataDxfId="4"/>
    <tableColumn id="4" xr3:uid="{FC5E9F9A-961F-4DAD-A441-C4F391058BA4}" name="outlet_id"/>
    <tableColumn id="5" xr3:uid="{1341EA57-F8BC-4F66-A77E-61B8C96C234C}" name="cms_id"/>
    <tableColumn id="6" xr3:uid="{C7A2C57D-E28C-455F-BD62-F1C0094216C9}" name="same_day">
      <calculatedColumnFormula>IF(INT(B2)=INT(C2),"Yes","No")</calculatedColumnFormula>
    </tableColumn>
    <tableColumn id="7" xr3:uid="{9C1B961B-92DF-4EA5-8D76-B63C8E824F89}" name="same_hour">
      <calculatedColumnFormula>IF(AND(INT(B2)=INT(C2),HOUR(B2)=HOUR(C2)),"Yes","No")</calculatedColumnFormula>
    </tableColumn>
    <tableColumn id="8" xr3:uid="{194EDA23-4A7E-4EE4-8A73-8F03F0406948}" name="Same_day_count" dataDxfId="1">
      <calculatedColumnFormula>COUNTIFS(D:D,"Hyderabad",F:F,"Yes")</calculatedColumnFormula>
    </tableColumn>
    <tableColumn id="9" xr3:uid="{6EC91B53-CDBD-400F-921B-9423B377F8F0}" name="Same_hour_count" dataDxfId="0">
      <calculatedColumnFormula>COUNTIFS(D:D,"Hyderabad",F:F,"Yes")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B8FB3-DAB7-4F97-897C-EE86A6CE0C60}" name="Table1" displayName="Table1" ref="A1:D5" totalsRowShown="0" headerRowDxfId="6">
  <autoFilter ref="A1:D5" xr:uid="{917B8FB3-DAB7-4F97-897C-EE86A6CE0C60}"/>
  <tableColumns count="4">
    <tableColumn id="1" xr3:uid="{555B2008-FC38-4F36-8297-A8B6A560B535}" name="cms_id"/>
    <tableColumn id="2" xr3:uid="{D53C0932-8EE5-4C43-9133-8794F748AD58}" name="feedback_at" dataDxfId="7"/>
    <tableColumn id="3" xr3:uid="{B0E1BF30-7457-4ACF-B055-44868A23A352}" name="feedback_rating"/>
    <tableColumn id="4" xr3:uid="{8F6BED01-5CA2-4EEE-BDE6-2CA4ED2CB12A}" name="ticket_created_at" dataDxfId="2">
      <calculatedColumnFormula>INDEX(ticket!B:B, MATCH(A2, ticket!E:E, 0))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B4E0-8880-4E07-9A35-23E327CDD628}">
  <dimension ref="A1:I5"/>
  <sheetViews>
    <sheetView workbookViewId="0">
      <selection activeCell="H2" sqref="H2"/>
    </sheetView>
  </sheetViews>
  <sheetFormatPr defaultRowHeight="14.5" x14ac:dyDescent="0.35"/>
  <cols>
    <col min="1" max="1" width="10.08984375" customWidth="1"/>
    <col min="2" max="2" width="15.6328125" customWidth="1"/>
    <col min="3" max="3" width="16.1796875" customWidth="1"/>
    <col min="4" max="4" width="11.54296875" customWidth="1"/>
    <col min="5" max="5" width="11.36328125" customWidth="1"/>
    <col min="6" max="6" width="11.26953125" customWidth="1"/>
    <col min="7" max="7" width="12.26953125" customWidth="1"/>
    <col min="8" max="8" width="16.26953125" customWidth="1"/>
    <col min="9" max="9" width="16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5">
      <c r="A2" t="s">
        <v>5</v>
      </c>
      <c r="B2" s="2">
        <v>44429.416666666664</v>
      </c>
      <c r="C2" s="2">
        <v>44429.5</v>
      </c>
      <c r="D2" t="s">
        <v>8</v>
      </c>
      <c r="E2" t="s">
        <v>10</v>
      </c>
      <c r="F2" t="str">
        <f>IF(INT(B2)=INT(C2),"Yes","No")</f>
        <v>Yes</v>
      </c>
      <c r="G2" t="str">
        <f>IF(AND(INT(B2)=INT(C2),HOUR(B2)=HOUR(C2)),"Yes","No")</f>
        <v>No</v>
      </c>
      <c r="H2">
        <f t="shared" ref="H2:H5" si="0">COUNTIFS(D:D,"Hyderabad",F:F,"Yes")</f>
        <v>2</v>
      </c>
      <c r="I2">
        <f t="shared" ref="I2:I5" si="1">COUNTIFS(D:D,"Hyderabad",F:F,"Yes")</f>
        <v>2</v>
      </c>
    </row>
    <row r="3" spans="1:9" x14ac:dyDescent="0.35">
      <c r="A3" t="s">
        <v>6</v>
      </c>
      <c r="B3" s="2">
        <v>44430.458333333336</v>
      </c>
      <c r="C3" s="2">
        <v>44430.479166666664</v>
      </c>
      <c r="D3" t="s">
        <v>8</v>
      </c>
      <c r="E3" t="s">
        <v>11</v>
      </c>
      <c r="F3" t="str">
        <f t="shared" ref="F3:F5" si="2">IF(INT(B3)=INT(C3),"Yes","No")</f>
        <v>Yes</v>
      </c>
      <c r="G3" t="str">
        <f t="shared" ref="G3:G5" si="3">IF(AND(INT(B3)=INT(C3),HOUR(B3)=HOUR(C3)),"Yes","No")</f>
        <v>Yes</v>
      </c>
      <c r="H3">
        <f t="shared" si="0"/>
        <v>2</v>
      </c>
      <c r="I3">
        <f t="shared" si="1"/>
        <v>2</v>
      </c>
    </row>
    <row r="4" spans="1:9" x14ac:dyDescent="0.35">
      <c r="A4" t="s">
        <v>7</v>
      </c>
      <c r="B4" s="2">
        <v>44431.5</v>
      </c>
      <c r="C4" s="2">
        <v>44431.520833333336</v>
      </c>
      <c r="D4" t="s">
        <v>9</v>
      </c>
      <c r="E4" t="s">
        <v>12</v>
      </c>
      <c r="F4" t="str">
        <f t="shared" si="2"/>
        <v>Yes</v>
      </c>
      <c r="G4" t="str">
        <f t="shared" si="3"/>
        <v>Yes</v>
      </c>
      <c r="H4">
        <f t="shared" si="0"/>
        <v>2</v>
      </c>
      <c r="I4">
        <f t="shared" si="1"/>
        <v>2</v>
      </c>
    </row>
    <row r="5" spans="1:9" x14ac:dyDescent="0.35">
      <c r="A5" t="s">
        <v>13</v>
      </c>
      <c r="B5" s="2">
        <v>44432.54166678241</v>
      </c>
      <c r="C5" s="2">
        <v>44432.583333333336</v>
      </c>
      <c r="D5" t="s">
        <v>15</v>
      </c>
      <c r="E5" t="s">
        <v>14</v>
      </c>
      <c r="F5" t="str">
        <f t="shared" si="2"/>
        <v>Yes</v>
      </c>
      <c r="G5" t="str">
        <f t="shared" si="3"/>
        <v>No</v>
      </c>
      <c r="H5">
        <f t="shared" si="0"/>
        <v>2</v>
      </c>
      <c r="I5">
        <f t="shared" si="1"/>
        <v>2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8302-8770-4344-BE73-54B37F39A983}">
  <dimension ref="A1:D5"/>
  <sheetViews>
    <sheetView tabSelected="1" workbookViewId="0">
      <selection activeCell="E6" sqref="E6"/>
    </sheetView>
  </sheetViews>
  <sheetFormatPr defaultRowHeight="14.5" x14ac:dyDescent="0.35"/>
  <cols>
    <col min="2" max="2" width="17.81640625" customWidth="1"/>
    <col min="3" max="3" width="16.453125" customWidth="1"/>
    <col min="4" max="4" width="17.6328125" customWidth="1"/>
  </cols>
  <sheetData>
    <row r="1" spans="1:4" x14ac:dyDescent="0.35">
      <c r="A1" s="1" t="s">
        <v>4</v>
      </c>
      <c r="B1" s="1" t="s">
        <v>16</v>
      </c>
      <c r="C1" s="1" t="s">
        <v>17</v>
      </c>
      <c r="D1" s="1" t="s">
        <v>18</v>
      </c>
    </row>
    <row r="2" spans="1:4" x14ac:dyDescent="0.35">
      <c r="A2" t="s">
        <v>10</v>
      </c>
      <c r="B2" s="2">
        <v>44429.541666666664</v>
      </c>
      <c r="C2">
        <v>5</v>
      </c>
      <c r="D2">
        <f>INDEX(ticket!B:B, MATCH(A2, ticket!E:E, 0))</f>
        <v>44429.416666666664</v>
      </c>
    </row>
    <row r="3" spans="1:4" x14ac:dyDescent="0.35">
      <c r="A3" t="s">
        <v>11</v>
      </c>
      <c r="B3" s="2">
        <v>44430.541666608799</v>
      </c>
      <c r="C3">
        <v>4</v>
      </c>
      <c r="D3">
        <f>INDEX(ticket!B:B, MATCH(A3, ticket!E:E, 0))</f>
        <v>44430.458333333336</v>
      </c>
    </row>
    <row r="4" spans="1:4" x14ac:dyDescent="0.35">
      <c r="A4" t="s">
        <v>12</v>
      </c>
      <c r="B4" s="2">
        <v>44431.541666608799</v>
      </c>
      <c r="C4">
        <v>3</v>
      </c>
      <c r="D4">
        <f>INDEX(ticket!B:B, MATCH(A4, ticket!E:E, 0))</f>
        <v>44431.5</v>
      </c>
    </row>
    <row r="5" spans="1:4" x14ac:dyDescent="0.35">
      <c r="A5" t="s">
        <v>14</v>
      </c>
      <c r="B5" s="2">
        <v>44432.583333333336</v>
      </c>
      <c r="C5">
        <v>4</v>
      </c>
      <c r="D5">
        <f>INDEX(ticket!B:B, MATCH(A5, ticket!E:E, 0))</f>
        <v>44432.54166678241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Vasuki Deepika</dc:creator>
  <cp:lastModifiedBy>Vasuki Deepika</cp:lastModifiedBy>
  <dcterms:created xsi:type="dcterms:W3CDTF">2026-04-08T11:31:19Z</dcterms:created>
  <dcterms:modified xsi:type="dcterms:W3CDTF">2026-04-08T14:13:18Z</dcterms:modified>
</cp:coreProperties>
</file>